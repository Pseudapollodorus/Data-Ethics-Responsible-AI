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condition + trigger + expected system response + pass/fail
</t>
      </text>
    </comment>
    <comment authorId="0" ref="B30">
      <text>
        <t xml:space="preserve">condition + trigger + expected system response + pass/fail
</t>
      </text>
    </comment>
    <comment authorId="0" ref="B45">
      <text>
        <t xml:space="preserve">condition + trigger + expected system response + pass/fail
</t>
      </text>
    </comment>
  </commentList>
</comments>
</file>

<file path=xl/sharedStrings.xml><?xml version="1.0" encoding="utf-8"?>
<sst xmlns="http://schemas.openxmlformats.org/spreadsheetml/2006/main" count="54" uniqueCount="34">
  <si>
    <t>Design Participant Name: David Stifler</t>
  </si>
  <si>
    <t>System / Project / Product Name: AUTHENTES - Revitalizing Authenticity and Trust in Academic Projects</t>
  </si>
  <si>
    <t>Test Participant Name: Emily Cairncross</t>
  </si>
  <si>
    <t>Scenario description:</t>
  </si>
  <si>
    <t>If the AUTHENTES agent incorrectly flags a student whose family are established university donors, and the student's anonymity is breached somehow (perhaps publicly), then the family might confront the university administration with a request that a) the student be given an automatic pass, b) the instructor be dismissed, and/or c) the AUTHENTES system be disconnected from the LMS, or else they will pull funding that the university relies on to provide scholarships and programming that distinguishes it from its peer institutions -- thereby lowering its volume of applicants and damaging its reputation.</t>
  </si>
  <si>
    <t>Severity</t>
  </si>
  <si>
    <t>Critical</t>
  </si>
  <si>
    <t>Severity Score</t>
  </si>
  <si>
    <t>Likelihood</t>
  </si>
  <si>
    <t>Plausible</t>
  </si>
  <si>
    <t>Likelihood Score</t>
  </si>
  <si>
    <t>Reversibility</t>
  </si>
  <si>
    <t>Hard to reverse</t>
  </si>
  <si>
    <t>Reversibility Score</t>
  </si>
  <si>
    <t>Risk Prioritization:</t>
  </si>
  <si>
    <t>Risk Score</t>
  </si>
  <si>
    <t>Mitigation Strategy:</t>
  </si>
  <si>
    <t>Design Mitigation</t>
  </si>
  <si>
    <t>Explain:</t>
  </si>
  <si>
    <t>Prioritize minimization of false positives, emphasize importance of human reviewer for flagged submissions, and keep AUTHENTES results private from public.</t>
  </si>
  <si>
    <t>Potential Test Scenario:</t>
  </si>
  <si>
    <t>For an assignment using AUTHENTES to assess submissions, when a student submission is flagged for review, the system should provide sufficient contextual information to the reviewer, feedback to the user, and record all relevant details in its decision log. The test passes if AUTHENTES does not accuse the student in its feedback (accusations should only come from the human reviewer/teacher) and if there is no way for anyone other than the student or teacher/reviewer to access its decision logs.</t>
  </si>
  <si>
    <t>A student uses an LLM-based editing assistant to polish or clean up a writing assignment. The ideas, organization, and content are all original work by the student, but the finished prose product does not represent a 100% original work by the student. Furthermore, unknown to the student, the LLM assistant has introduced factual errors into the text of the assignment that were not present in the initial, unpolished version of the text, and the student does not notice them. The system does NOT flag it as an LLM-produced work, and it is passed on to the grader for assessment. The assignment is marked down for basic factual errors, and upon receiving the grader's comments the student objects that the AUTHENTES tool should have flagged their submission and bounced it back to them for rewriting. The student is, technically, correct in pointing out that AUTHENTES did not perform as intended, and if it had, the version with the factual error would not have made it through.</t>
  </si>
  <si>
    <t>Meaningful</t>
  </si>
  <si>
    <t>Likely</t>
  </si>
  <si>
    <t>Moderately Reversible</t>
  </si>
  <si>
    <t>Policy &amp; governance</t>
  </si>
  <si>
    <t>Make it clear to instructors and students that AUTHENTES is not perfect. It should always be a human's ultimate responsibility to catch factual errors.</t>
  </si>
  <si>
    <t>Recruit teachers willing to trial AUTHENTES in their classroom. After a semester, survey the teachers on how they made use of AUTHENTES for their class. They should report continued careful review of AUTHENTES reports both by themselves and their students. The test fails if more than 5% of teachers surveyed have shown significantly increased reliance on AUTHENTES for fact-checking.</t>
  </si>
  <si>
    <t>A student submits a coding assignment for which they have used an LLM assistant to an extent that pushes and perhaps oversteps the boundaries of usage permitted by the course or department policy. The AUTHENTES agent correctly flags it, bounces it back to them, and provides feedback specifying the aspects of the submission that indicate it to be LLM-generated. However, the lines of code that it flagged cannot be easily rewritten in another way, unless it is to make them less efficient and fall outside of best practices. Moreover, because the system has already flagged this submission, if they make anything short of drastic changes to the flagged sections of code, their submission will be bounced again and they will be unable to receive credit for the assignment. The student is therefore stuck in a difficult position: rewrite the code in a circuitous manner that is inefficient and will not be viewed favorably when graded, or escalate to request a human review and risk receiving no credit for the assignment.</t>
  </si>
  <si>
    <t>Serious</t>
  </si>
  <si>
    <t>Rare</t>
  </si>
  <si>
    <t xml:space="preserve">Once the model flags a section of the submitted assignment as AI-generated, run it through a second check. If the code or text in that section comes up frequently in similar sources in this field, it is assumed that this is "standard" in some way, and so would not count for AI-generation or plagiarism (i.e. a standard mathematical definition, a standard sort function, a common quotation that is properly cited, etc.) </t>
  </si>
  <si>
    <t>Recruit subject matter experts to write original documents in various subjects/mediums, then copy-paste in standard phrases and sentences in that field. The test passes if AUTHENTES does not flag these submissions.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</si>
</sst>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i/>
      <color theme="1"/>
      <name val="Arial"/>
      <scheme val="minor"/>
    </font>
    <font/>
    <font>
      <color theme="1"/>
      <name val="Arial"/>
    </font>
  </fonts>
  <fills count="2">
    <fill>
      <patternFill patternType="none"/>
    </fill>
    <fill>
      <patternFill patternType="lightGray"/>
    </fill>
  </fills>
  <borders count="9">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1" fillId="0" fontId="2" numFmtId="0" xfId="0" applyBorder="1" applyFont="1"/>
    <xf borderId="2" fillId="0" fontId="2" numFmtId="0" xfId="0" applyBorder="1" applyFont="1"/>
    <xf borderId="3" fillId="0" fontId="2" numFmtId="0" xfId="0" applyBorder="1" applyFont="1"/>
    <xf borderId="0" fillId="0" fontId="2" numFmtId="0" xfId="0" applyAlignment="1" applyFont="1">
      <alignment readingOrder="0"/>
    </xf>
    <xf borderId="4" fillId="0" fontId="2" numFmtId="0" xfId="0" applyAlignment="1" applyBorder="1" applyFont="1">
      <alignment readingOrder="0"/>
    </xf>
    <xf borderId="0" fillId="0" fontId="3" numFmtId="0" xfId="0" applyAlignment="1" applyFont="1">
      <alignment readingOrder="0" shrinkToFit="0" wrapText="1"/>
    </xf>
    <xf borderId="5" fillId="0" fontId="4" numFmtId="0" xfId="0" applyBorder="1" applyFont="1"/>
    <xf borderId="4" fillId="0" fontId="2" numFmtId="0" xfId="0" applyBorder="1" applyFont="1"/>
    <xf borderId="5" fillId="0" fontId="2" numFmtId="0" xfId="0" applyBorder="1" applyFont="1"/>
    <xf borderId="0" fillId="0" fontId="2" numFmtId="0" xfId="0" applyFont="1"/>
    <xf borderId="0" fillId="0" fontId="2" numFmtId="0" xfId="0" applyAlignment="1" applyFont="1">
      <alignment readingOrder="0"/>
    </xf>
    <xf borderId="0" fillId="0" fontId="2" numFmtId="0" xfId="0" applyAlignment="1" applyFont="1">
      <alignment readingOrder="0" shrinkToFit="0" wrapText="1"/>
    </xf>
    <xf borderId="4" fillId="0" fontId="5" numFmtId="0" xfId="0" applyAlignment="1" applyBorder="1" applyFont="1">
      <alignment vertical="bottom"/>
    </xf>
    <xf borderId="0" fillId="0" fontId="5" numFmtId="0" xfId="0" applyAlignment="1" applyFont="1">
      <alignment readingOrder="0" shrinkToFit="0" vertical="bottom" wrapText="1"/>
    </xf>
    <xf borderId="5" fillId="0" fontId="2" numFmtId="0" xfId="0" applyAlignment="1" applyBorder="1" applyFont="1">
      <alignment readingOrder="0"/>
    </xf>
    <xf borderId="6" fillId="0" fontId="2" numFmtId="0" xfId="0" applyAlignment="1" applyBorder="1" applyFont="1">
      <alignment readingOrder="0"/>
    </xf>
    <xf borderId="7" fillId="0" fontId="2" numFmtId="0" xfId="0" applyAlignment="1" applyBorder="1" applyFont="1">
      <alignment readingOrder="0"/>
    </xf>
    <xf borderId="8" fillId="0" fontId="2" numFmtId="0" xfId="0" applyAlignment="1" applyBorder="1" applyFont="1">
      <alignment readingOrder="0"/>
    </xf>
    <xf borderId="1" fillId="0" fontId="2" numFmtId="0" xfId="0" applyAlignment="1" applyBorder="1" applyFont="1">
      <alignment readingOrder="0"/>
    </xf>
    <xf borderId="2" fillId="0" fontId="3" numFmtId="0" xfId="0" applyAlignment="1" applyBorder="1" applyFont="1">
      <alignment readingOrder="0" shrinkToFit="0" wrapText="1"/>
    </xf>
    <xf borderId="2" fillId="0" fontId="4" numFmtId="0" xfId="0" applyBorder="1" applyFont="1"/>
    <xf borderId="3" fillId="0" fontId="4" numFmtId="0" xfId="0" applyBorder="1" applyFont="1"/>
    <xf borderId="0" fillId="0" fontId="2" numFmtId="0" xfId="0" applyAlignment="1" applyFont="1">
      <alignment readingOrder="0" shrinkToFit="0" wrapText="0"/>
    </xf>
    <xf borderId="4" fillId="0" fontId="5" numFmtId="0" xfId="0" applyAlignment="1" applyBorder="1" applyFont="1">
      <alignment vertical="bottom"/>
    </xf>
    <xf borderId="6" fillId="0" fontId="2" numFmtId="0" xfId="0" applyBorder="1" applyFont="1"/>
    <xf borderId="7" fillId="0" fontId="2" numFmtId="0" xfId="0" applyBorder="1" applyFont="1"/>
    <xf borderId="8" fillId="0" fontId="2" numFmtId="0" xfId="0" applyBorder="1" applyFont="1"/>
    <xf borderId="2" fillId="0" fontId="2" numFmtId="0" xfId="0" applyAlignment="1" applyBorder="1" applyFont="1">
      <alignment readingOrder="0"/>
    </xf>
    <xf borderId="3" fillId="0" fontId="2" numFmtId="0" xfId="0" applyAlignment="1" applyBorder="1" applyFont="1">
      <alignment readingOrder="0"/>
    </xf>
  </cellXfs>
  <cellStyles count="1">
    <cellStyle xfId="0" name="Normal" builtinId="0"/>
  </cellStyles>
  <dxfs count="4">
    <dxf>
      <font>
        <b/>
        <color rgb="FFFFFFFF"/>
      </font>
      <fill>
        <patternFill patternType="solid">
          <fgColor rgb="FFFF6D01"/>
          <bgColor rgb="FFFF6D01"/>
        </patternFill>
      </fill>
      <border/>
    </dxf>
    <dxf>
      <font>
        <b/>
        <color rgb="FFFFFFFF"/>
      </font>
      <fill>
        <patternFill patternType="solid">
          <fgColor rgb="FF6AA84F"/>
          <bgColor rgb="FF6AA84F"/>
        </patternFill>
      </fill>
      <border/>
    </dxf>
    <dxf>
      <font>
        <b/>
        <color rgb="FFFFFFFF"/>
      </font>
      <fill>
        <patternFill patternType="solid">
          <fgColor rgb="FFFF0000"/>
          <bgColor rgb="FFFF0000"/>
        </patternFill>
      </fill>
      <border/>
    </dxf>
    <dxf>
      <font>
        <b/>
        <color rgb="FF000000"/>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2.75"/>
    <col customWidth="1" min="4" max="4" width="17.25"/>
    <col customWidth="1" min="5" max="5" width="23.63"/>
    <col customWidth="1" min="6" max="6" width="16.13"/>
    <col customWidth="1" min="7" max="7" width="4.25"/>
  </cols>
  <sheetData>
    <row r="1">
      <c r="A1" s="1"/>
      <c r="B1" s="1" t="s">
        <v>0</v>
      </c>
      <c r="C1" s="1"/>
      <c r="D1" s="1"/>
    </row>
    <row r="2" ht="52.5" customHeight="1">
      <c r="A2" s="1"/>
      <c r="B2" s="2" t="s">
        <v>1</v>
      </c>
    </row>
    <row r="3">
      <c r="B3" s="1" t="s">
        <v>2</v>
      </c>
    </row>
    <row r="5">
      <c r="B5" s="3"/>
      <c r="C5" s="4"/>
      <c r="D5" s="4"/>
      <c r="E5" s="4"/>
      <c r="F5" s="4"/>
      <c r="G5" s="4"/>
      <c r="H5" s="4"/>
      <c r="I5" s="5"/>
    </row>
    <row r="6">
      <c r="A6" s="6"/>
      <c r="B6" s="7" t="s">
        <v>3</v>
      </c>
      <c r="C6" s="8" t="s">
        <v>4</v>
      </c>
      <c r="I6" s="9"/>
    </row>
    <row r="7">
      <c r="B7" s="10"/>
      <c r="I7" s="11"/>
    </row>
    <row r="8">
      <c r="B8" s="10"/>
      <c r="C8" s="6" t="s">
        <v>5</v>
      </c>
      <c r="D8" s="6" t="s">
        <v>6</v>
      </c>
      <c r="F8" s="6" t="s">
        <v>7</v>
      </c>
      <c r="G8" s="6">
        <f>SWITCH(D8, "Trivial", 1, "Meaningful", 2, "Serious", 3, "Critical", 4, 0)</f>
        <v>4</v>
      </c>
      <c r="I8" s="11"/>
    </row>
    <row r="9">
      <c r="B9" s="10"/>
      <c r="C9" s="6" t="s">
        <v>8</v>
      </c>
      <c r="D9" s="6" t="s">
        <v>9</v>
      </c>
      <c r="F9" s="6" t="s">
        <v>10</v>
      </c>
      <c r="G9" s="6">
        <f>SWITCH(D9, "Rare", 1, "Plausible", 2, "Likely", 3, "Expected", 4, 0)</f>
        <v>2</v>
      </c>
      <c r="I9" s="11"/>
    </row>
    <row r="10">
      <c r="B10" s="10"/>
      <c r="C10" s="6" t="s">
        <v>11</v>
      </c>
      <c r="D10" s="6" t="s">
        <v>12</v>
      </c>
      <c r="F10" s="6" t="s">
        <v>13</v>
      </c>
      <c r="G10" s="6">
        <f>SWITCH(D10, "Easily Reversible", 1, "Moderately Reversible", 2, "Hard to Reverse", 3, "Irreversible", 4, 0)</f>
        <v>3</v>
      </c>
      <c r="I10" s="11"/>
    </row>
    <row r="11">
      <c r="B11" s="10"/>
      <c r="I11" s="11"/>
    </row>
    <row r="12">
      <c r="A12" s="6"/>
      <c r="B12" s="7" t="s">
        <v>14</v>
      </c>
      <c r="C12" s="12" t="str">
        <f>IF(G12=0,"",
IFS(
G12&lt;=8,"Low Priority",
G12&lt;=24,"Moderate Priority",
G12&lt;=48,"High Priority",
TRUE,"Critical Priority"
))</f>
        <v>Moderate Priority</v>
      </c>
      <c r="F12" s="6" t="s">
        <v>15</v>
      </c>
      <c r="G12" s="12">
        <f>G8*G9*G10</f>
        <v>24</v>
      </c>
      <c r="I12" s="11"/>
    </row>
    <row r="13">
      <c r="B13" s="10"/>
      <c r="I13" s="11"/>
    </row>
    <row r="14">
      <c r="A14" s="6"/>
      <c r="B14" s="7" t="s">
        <v>16</v>
      </c>
      <c r="C14" s="13" t="s">
        <v>17</v>
      </c>
      <c r="I14" s="11"/>
    </row>
    <row r="15">
      <c r="A15" s="6"/>
      <c r="B15" s="7" t="s">
        <v>18</v>
      </c>
      <c r="C15" s="14" t="s">
        <v>19</v>
      </c>
      <c r="I15" s="11"/>
    </row>
    <row r="16">
      <c r="A16" s="6"/>
      <c r="B16" s="15" t="s">
        <v>20</v>
      </c>
      <c r="C16" s="16" t="s">
        <v>21</v>
      </c>
      <c r="I16" s="17"/>
    </row>
    <row r="17">
      <c r="A17" s="6"/>
      <c r="B17" s="18"/>
      <c r="C17" s="19"/>
      <c r="D17" s="19"/>
      <c r="E17" s="19"/>
      <c r="F17" s="19"/>
      <c r="G17" s="19"/>
      <c r="H17" s="19"/>
      <c r="I17" s="20"/>
    </row>
    <row r="18">
      <c r="A18" s="6"/>
      <c r="B18" s="6"/>
      <c r="C18" s="6"/>
      <c r="D18" s="6"/>
      <c r="E18" s="6"/>
      <c r="F18" s="6"/>
      <c r="G18" s="6"/>
      <c r="H18" s="6"/>
      <c r="I18" s="6"/>
    </row>
    <row r="19">
      <c r="A19" s="6"/>
      <c r="B19" s="6"/>
      <c r="C19" s="6"/>
      <c r="D19" s="6"/>
      <c r="E19" s="6"/>
      <c r="F19" s="6"/>
      <c r="G19" s="6"/>
      <c r="H19" s="6"/>
      <c r="I19" s="6"/>
    </row>
    <row r="20">
      <c r="A20" s="6"/>
      <c r="B20" s="21" t="s">
        <v>3</v>
      </c>
      <c r="C20" s="22" t="s">
        <v>22</v>
      </c>
      <c r="D20" s="23"/>
      <c r="E20" s="23"/>
      <c r="F20" s="23"/>
      <c r="G20" s="23"/>
      <c r="H20" s="23"/>
      <c r="I20" s="24"/>
      <c r="J20" s="25"/>
    </row>
    <row r="21">
      <c r="B21" s="10"/>
      <c r="I21" s="11"/>
    </row>
    <row r="22">
      <c r="B22" s="10"/>
      <c r="C22" s="6" t="s">
        <v>5</v>
      </c>
      <c r="D22" s="6" t="s">
        <v>23</v>
      </c>
      <c r="G22" s="6">
        <f>SWITCH(D22, "Trivial", 1, "Meaningful", 2, "Serious", 3, "Critical", 4, 0)</f>
        <v>2</v>
      </c>
      <c r="I22" s="11"/>
    </row>
    <row r="23">
      <c r="B23" s="10"/>
      <c r="C23" s="6" t="s">
        <v>8</v>
      </c>
      <c r="D23" s="6" t="s">
        <v>24</v>
      </c>
      <c r="G23" s="6">
        <f>SWITCH(D23, "Rare", 1, "Plausible", 2, "Likely", 3, "Expected", 4, 0)</f>
        <v>3</v>
      </c>
      <c r="I23" s="11"/>
    </row>
    <row r="24">
      <c r="B24" s="10"/>
      <c r="C24" s="6" t="s">
        <v>11</v>
      </c>
      <c r="D24" s="6" t="s">
        <v>25</v>
      </c>
      <c r="G24" s="6">
        <f>SWITCH(D24, "Easily Reversible", 1, "Moderately Reversible", 2, "Hard to Reverse", 3, "Irreversible", 4, 0)</f>
        <v>2</v>
      </c>
      <c r="I24" s="11"/>
    </row>
    <row r="25">
      <c r="B25" s="10"/>
      <c r="I25" s="11"/>
    </row>
    <row r="26">
      <c r="A26" s="6"/>
      <c r="B26" s="7" t="s">
        <v>14</v>
      </c>
      <c r="C26" s="12" t="str">
        <f>IF(G26=0,"",
IFS(
G26&lt;=8,"Low Priority",
G26&lt;=24,"Moderate Priority",
G26&lt;=48,"High Priority",
TRUE,"Critical Priority"
))</f>
        <v>Moderate Priority</v>
      </c>
      <c r="F26" s="6" t="s">
        <v>15</v>
      </c>
      <c r="G26" s="12">
        <f>G22*G23*G24</f>
        <v>12</v>
      </c>
      <c r="I26" s="11"/>
    </row>
    <row r="27">
      <c r="B27" s="10"/>
      <c r="I27" s="11"/>
    </row>
    <row r="28">
      <c r="A28" s="6"/>
      <c r="B28" s="7" t="s">
        <v>16</v>
      </c>
      <c r="C28" s="13" t="s">
        <v>26</v>
      </c>
      <c r="I28" s="11"/>
    </row>
    <row r="29">
      <c r="A29" s="6"/>
      <c r="B29" s="7" t="s">
        <v>18</v>
      </c>
      <c r="C29" s="14" t="s">
        <v>27</v>
      </c>
      <c r="I29" s="11"/>
    </row>
    <row r="30">
      <c r="B30" s="26" t="s">
        <v>20</v>
      </c>
      <c r="C30" s="16" t="s">
        <v>28</v>
      </c>
      <c r="I30" s="11"/>
    </row>
    <row r="31">
      <c r="B31" s="27"/>
      <c r="C31" s="28"/>
      <c r="D31" s="28"/>
      <c r="E31" s="28"/>
      <c r="F31" s="28"/>
      <c r="G31" s="28"/>
      <c r="H31" s="28"/>
      <c r="I31" s="29"/>
    </row>
    <row r="34">
      <c r="A34" s="6"/>
      <c r="B34" s="21"/>
      <c r="C34" s="30"/>
      <c r="D34" s="30"/>
      <c r="E34" s="30"/>
      <c r="F34" s="30"/>
      <c r="G34" s="30"/>
      <c r="H34" s="30"/>
      <c r="I34" s="31"/>
    </row>
    <row r="35">
      <c r="A35" s="6"/>
      <c r="B35" s="7" t="s">
        <v>3</v>
      </c>
      <c r="C35" s="8" t="s">
        <v>29</v>
      </c>
      <c r="I35" s="9"/>
    </row>
    <row r="36">
      <c r="B36" s="10"/>
      <c r="I36" s="11"/>
    </row>
    <row r="37">
      <c r="B37" s="10"/>
      <c r="C37" s="6" t="s">
        <v>5</v>
      </c>
      <c r="D37" s="6" t="s">
        <v>30</v>
      </c>
      <c r="G37" s="6">
        <f>SWITCH(D37, "Trivial", 1, "Meaningful", 2, "Serious", 3, "Critical", 4, 0)</f>
        <v>3</v>
      </c>
      <c r="I37" s="11"/>
    </row>
    <row r="38">
      <c r="B38" s="10"/>
      <c r="C38" s="6" t="s">
        <v>8</v>
      </c>
      <c r="D38" s="6" t="s">
        <v>31</v>
      </c>
      <c r="G38" s="6">
        <f>SWITCH(D38, "Rare", 1, "Plausible", 2, "Likely", 3, "Expected", 4, 0)</f>
        <v>1</v>
      </c>
      <c r="I38" s="11"/>
    </row>
    <row r="39">
      <c r="B39" s="10"/>
      <c r="C39" s="6" t="s">
        <v>11</v>
      </c>
      <c r="D39" s="6" t="s">
        <v>25</v>
      </c>
      <c r="G39" s="6">
        <f>SWITCH(D39, "Easily Reversible", 1, "Moderately Reversible", 2, "Hard to Reverse", 3, "Irreversible", 4, 0)</f>
        <v>2</v>
      </c>
      <c r="I39" s="11"/>
    </row>
    <row r="40">
      <c r="B40" s="10"/>
      <c r="I40" s="11"/>
    </row>
    <row r="41">
      <c r="A41" s="6"/>
      <c r="B41" s="7" t="s">
        <v>14</v>
      </c>
      <c r="C41" s="12" t="str">
        <f>IF(G41=0,"",
IFS(
G41&lt;=8,"Low Priority",
G41&lt;=24,"Moderate Priority",
G41&lt;=48,"High Priority",
TRUE,"Critical Priority"
))</f>
        <v>Low Priority</v>
      </c>
      <c r="F41" s="6" t="s">
        <v>15</v>
      </c>
      <c r="G41" s="12">
        <f>G37*G38*G39</f>
        <v>6</v>
      </c>
      <c r="I41" s="11"/>
    </row>
    <row r="42">
      <c r="B42" s="10"/>
      <c r="I42" s="11"/>
    </row>
    <row r="43">
      <c r="A43" s="6"/>
      <c r="B43" s="7" t="s">
        <v>16</v>
      </c>
      <c r="C43" s="13" t="s">
        <v>17</v>
      </c>
      <c r="I43" s="11"/>
    </row>
    <row r="44">
      <c r="A44" s="6"/>
      <c r="B44" s="7" t="s">
        <v>18</v>
      </c>
      <c r="C44" s="14" t="s">
        <v>32</v>
      </c>
      <c r="I44" s="11"/>
    </row>
    <row r="45">
      <c r="B45" s="26" t="s">
        <v>20</v>
      </c>
      <c r="C45" s="16" t="s">
        <v>33</v>
      </c>
      <c r="I45" s="11"/>
    </row>
    <row r="46">
      <c r="B46" s="27"/>
      <c r="C46" s="28"/>
      <c r="D46" s="28"/>
      <c r="E46" s="28"/>
      <c r="F46" s="28"/>
      <c r="G46" s="28"/>
      <c r="H46" s="28"/>
      <c r="I46" s="29"/>
    </row>
  </sheetData>
  <mergeCells count="16">
    <mergeCell ref="B2:D2"/>
    <mergeCell ref="C6:I6"/>
    <mergeCell ref="C12:D12"/>
    <mergeCell ref="C14:F14"/>
    <mergeCell ref="C15:H15"/>
    <mergeCell ref="C16:H16"/>
    <mergeCell ref="C20:I20"/>
    <mergeCell ref="C44:H44"/>
    <mergeCell ref="C45:H45"/>
    <mergeCell ref="C26:D26"/>
    <mergeCell ref="C28:F28"/>
    <mergeCell ref="C29:H29"/>
    <mergeCell ref="C30:H30"/>
    <mergeCell ref="C35:I35"/>
    <mergeCell ref="C41:D41"/>
    <mergeCell ref="C43:F43"/>
  </mergeCells>
  <conditionalFormatting sqref="C12:D12 C26:D26 C41:D41">
    <cfRule type="containsText" dxfId="0" priority="1" operator="containsText" text="High Priority">
      <formula>NOT(ISERROR(SEARCH(("High Priority"),(C12))))</formula>
    </cfRule>
  </conditionalFormatting>
  <conditionalFormatting sqref="C12:D12 C26:D26 C41:D41">
    <cfRule type="containsText" dxfId="1" priority="2" operator="containsText" text="Low Priority">
      <formula>NOT(ISERROR(SEARCH(("Low Priority"),(C12))))</formula>
    </cfRule>
  </conditionalFormatting>
  <conditionalFormatting sqref="C12:D12 C26:D26 C41:D41">
    <cfRule type="containsText" dxfId="2" priority="3" operator="containsText" text="Critical Priority">
      <formula>NOT(ISERROR(SEARCH(("Critical Priority"),(C12))))</formula>
    </cfRule>
  </conditionalFormatting>
  <conditionalFormatting sqref="C12:D12 C26:D26 C41:D41">
    <cfRule type="containsText" dxfId="3" priority="4" operator="containsText" text="Moderate Priority">
      <formula>NOT(ISERROR(SEARCH(("Moderate Priority"),(C12))))</formula>
    </cfRule>
  </conditionalFormatting>
  <dataValidations>
    <dataValidation type="list" allowBlank="1" showErrorMessage="1" sqref="D10 D24 D39">
      <formula1>"Easily reversible,Moderately Reversible,Hard to reverse,Irreversible"</formula1>
    </dataValidation>
    <dataValidation type="list" allowBlank="1" showErrorMessage="1" sqref="D9 D23 D38">
      <formula1>"Rare,Plausible,Likely,Expected"</formula1>
    </dataValidation>
    <dataValidation type="list" allowBlank="1" showErrorMessage="1" sqref="D8 D22 D37">
      <formula1>"Trivial,Meaningful,Serious,Critical"</formula1>
    </dataValidation>
    <dataValidation type="list" allowBlank="1" showErrorMessage="1" sqref="C14 C28 C43">
      <formula1>"Design Mitigation,Human oversight,Testing &amp; monitoring,Policy &amp; governance,Other Mitigation"</formula1>
    </dataValidation>
  </dataValidations>
  <drawing r:id="rId2"/>
  <legacyDrawing r:id="rId3"/>
</worksheet>
</file>